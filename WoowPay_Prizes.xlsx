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ерчант Шагналууд" sheetId="1" state="visible" r:id="rId3"/>
    <sheet name="Харилцагч Шагналууд" sheetId="2" state="visible" r:id="rId4"/>
    <sheet name="Нийт Тохиргоо" sheetId="3" state="visible" r:id="rId5"/>
    <sheet name="Заавар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<sst xmlns="http://schemas.openxmlformats.org/spreadsheetml/2006/main" count="185" uniqueCount="131">
  <si>
    <t xml:space="preserve">Мерчант Шагналууд — WoowPay Loyalty</t>
  </si>
  <si>
    <t xml:space="preserve">ID</t>
  </si>
  <si>
    <t xml:space="preserve">Шагналын нэр</t>
  </si>
  <si>
    <t xml:space="preserve">Emoji</t>
  </si>
  <si>
    <t xml:space="preserve">Тайлбар</t>
  </si>
  <si>
    <t xml:space="preserve">Өнгө (Hex)</t>
  </si>
  <si>
    <t xml:space="preserve">Магадлал %</t>
  </si>
  <si>
    <t xml:space="preserve">Тэмдэглэл</t>
  </si>
  <si>
    <t xml:space="preserve">5,000 Bonus</t>
  </si>
  <si>
    <t xml:space="preserve">⭐</t>
  </si>
  <si>
    <t xml:space="preserve">Woow Bonus оноо нэмэгдлээ</t>
  </si>
  <si>
    <t xml:space="preserve">#29BDE0</t>
  </si>
  <si>
    <t xml:space="preserve">Жижиг шагнал — өндөр давтамжтай</t>
  </si>
  <si>
    <t xml:space="preserve">Зээлийн эрх</t>
  </si>
  <si>
    <t xml:space="preserve">💳</t>
  </si>
  <si>
    <t xml:space="preserve">Зээлийн хязгаар нэмэгдэх эрх</t>
  </si>
  <si>
    <t xml:space="preserve">#F5B800</t>
  </si>
  <si>
    <t xml:space="preserve">Мерчантын зээлийн лимит өснө</t>
  </si>
  <si>
    <t xml:space="preserve">50,000₮ эрх</t>
  </si>
  <si>
    <t xml:space="preserve">🛍️</t>
  </si>
  <si>
    <t xml:space="preserve">Мерчант худалдан авалтын эрх</t>
  </si>
  <si>
    <t xml:space="preserve">#FF6B35</t>
  </si>
  <si>
    <t xml:space="preserve">Нэг удаагийн худалдан авалтын купон</t>
  </si>
  <si>
    <t xml:space="preserve">10,000 Bonus</t>
  </si>
  <si>
    <t xml:space="preserve">🌟</t>
  </si>
  <si>
    <t xml:space="preserve">#2ECC71</t>
  </si>
  <si>
    <t xml:space="preserve">Дунд зэргийн шагнал</t>
  </si>
  <si>
    <t xml:space="preserve">Зээл хаах</t>
  </si>
  <si>
    <t xml:space="preserve">🔐</t>
  </si>
  <si>
    <t xml:space="preserve">Нэг зээлийг үнэгүй хаах эрх</t>
  </si>
  <si>
    <t xml:space="preserve">#9B59B6</t>
  </si>
  <si>
    <t xml:space="preserve">Өндөр үнэ цэнэтэй — бага магадлалтай</t>
  </si>
  <si>
    <t xml:space="preserve">Дараа дахин</t>
  </si>
  <si>
    <t xml:space="preserve">🍀</t>
  </si>
  <si>
    <t xml:space="preserve">Азтай хаалт – Дараа оролдоорой</t>
  </si>
  <si>
    <t xml:space="preserve">#34495E</t>
  </si>
  <si>
    <t xml:space="preserve">Шагналгүй хэсэг — хамгийн өндөр магадлал</t>
  </si>
  <si>
    <t xml:space="preserve">100,000₮ эрх</t>
  </si>
  <si>
    <t xml:space="preserve">💰</t>
  </si>
  <si>
    <t xml:space="preserve">Мерчант 100K худалдан авалтын эрх</t>
  </si>
  <si>
    <t xml:space="preserve">#E74C3C</t>
  </si>
  <si>
    <t xml:space="preserve">Хамгийн том шагнал — маш бага магадлал</t>
  </si>
  <si>
    <t xml:space="preserve">2,500 Bonus</t>
  </si>
  <si>
    <t xml:space="preserve">✨</t>
  </si>
  <si>
    <t xml:space="preserve">#1A9BBF</t>
  </si>
  <si>
    <t xml:space="preserve">Комисс чөлөөлөлт</t>
  </si>
  <si>
    <t xml:space="preserve">🎯</t>
  </si>
  <si>
    <t xml:space="preserve">1 сарын комисс чөлөөлөгдлөө</t>
  </si>
  <si>
    <t xml:space="preserve">#F39C12</t>
  </si>
  <si>
    <t xml:space="preserve">Мерчантад онцгой шагнал</t>
  </si>
  <si>
    <t xml:space="preserve">20,000₮ эрх</t>
  </si>
  <si>
    <t xml:space="preserve">🎁</t>
  </si>
  <si>
    <t xml:space="preserve">#16A085</t>
  </si>
  <si>
    <t xml:space="preserve">Дунд зэргийн купон</t>
  </si>
  <si>
    <t xml:space="preserve">НИЙТ МАГАДЛАЛ</t>
  </si>
  <si>
    <t xml:space="preserve">Харилцагч Шагналууд — WoowPay Loyalty</t>
  </si>
  <si>
    <t xml:space="preserve">500 Bonus</t>
  </si>
  <si>
    <t xml:space="preserve">Хэрэглэгчийн зээлийн лимит өснө</t>
  </si>
  <si>
    <t xml:space="preserve">Мерчант худалдан авалтын хөнгөлөлт</t>
  </si>
  <si>
    <t xml:space="preserve">Мерчантаас хөнгөлөлт авах эрх</t>
  </si>
  <si>
    <t xml:space="preserve">10,000₮ кэшбэк</t>
  </si>
  <si>
    <t xml:space="preserve">💸</t>
  </si>
  <si>
    <t xml:space="preserve">10,000₮ буцаан олголт</t>
  </si>
  <si>
    <t xml:space="preserve">Шууд мөнгөн буцаалт</t>
  </si>
  <si>
    <t xml:space="preserve">2,000 Bonus</t>
  </si>
  <si>
    <t xml:space="preserve">Үнэгүй бараа</t>
  </si>
  <si>
    <t xml:space="preserve">Мерчантаас үнэгүй бараа авах эрх</t>
  </si>
  <si>
    <t xml:space="preserve">Нэгдсэн мерчантуудын урамшуулал</t>
  </si>
  <si>
    <t xml:space="preserve">3,000 Bonus</t>
  </si>
  <si>
    <t xml:space="preserve">Жижиг-дунд шагнал</t>
  </si>
  <si>
    <t xml:space="preserve">WoowPay Loyalty — Нийт Шагналын Тохиргоо</t>
  </si>
  <si>
    <t xml:space="preserve">Шагнал нэмэх, устгах, магадлал өөрчлөхдөө "Мерчант Шагналууд" болон "Харилцагч Шагналууд" хуудсыг ашиглана уу.</t>
  </si>
  <si>
    <t xml:space="preserve">Хэсэг</t>
  </si>
  <si>
    <t xml:space="preserve">Шагналын тоо</t>
  </si>
  <si>
    <t xml:space="preserve">Нийт магадлал</t>
  </si>
  <si>
    <t xml:space="preserve">Статус</t>
  </si>
  <si>
    <t xml:space="preserve">Хамгийн их шагнал</t>
  </si>
  <si>
    <t xml:space="preserve">Хамгийн бага магадлал</t>
  </si>
  <si>
    <t xml:space="preserve">Мерчант</t>
  </si>
  <si>
    <t xml:space="preserve">Харилцагч</t>
  </si>
  <si>
    <t xml:space="preserve">📋  Хэрхэн ашиглах вэ?</t>
  </si>
  <si>
    <t xml:space="preserve">1</t>
  </si>
  <si>
    <t xml:space="preserve">Шагнал нэмэх</t>
  </si>
  <si>
    <t xml:space="preserve">"Мерчант Шагналууд" эсвэл "Харилцагч Шагналууд" хуудас руу очоод шинэ мөр нэмнэ үү.</t>
  </si>
  <si>
    <t xml:space="preserve">2</t>
  </si>
  <si>
    <t xml:space="preserve">Магадлал өөрчлөх</t>
  </si>
  <si>
    <t xml:space="preserve">"Магадлал %" баганад утгыг өөрчилнө үү. Нийт заавал 100% байх ёстой.</t>
  </si>
  <si>
    <t xml:space="preserve">3</t>
  </si>
  <si>
    <t xml:space="preserve">Шагнал устгах</t>
  </si>
  <si>
    <t xml:space="preserve">Мөрийг устгаж "Мерчант Шагналууд" хуудасны нийт магадлал 100% байгааг шалгана уу.</t>
  </si>
  <si>
    <t xml:space="preserve">4</t>
  </si>
  <si>
    <t xml:space="preserve">Кодыг шинэчлэх</t>
  </si>
  <si>
    <t xml:space="preserve">prizes.ts файлд мөн өөрчлөлт оруулах шаардлагатай. Хоёуланг нь синк байлгаарай.</t>
  </si>
  <si>
    <t xml:space="preserve">5</t>
  </si>
  <si>
    <t xml:space="preserve">Өнгө</t>
  </si>
  <si>
    <t xml:space="preserve">Color баганад CSS hex өнгийг бичнэ үү (#FF6B35 гэх мэт). Wheel дэлгэц дээр харагдана.</t>
  </si>
  <si>
    <t xml:space="preserve">WoowPay Loyalty — Код &amp; Тохиргооны Заавар</t>
  </si>
  <si>
    <t xml:space="preserve">#</t>
  </si>
  <si>
    <t xml:space="preserve">Сэдэв</t>
  </si>
  <si>
    <t xml:space="preserve">Жишээ / Утга</t>
  </si>
  <si>
    <t xml:space="preserve">Код формат</t>
  </si>
  <si>
    <t xml:space="preserve">Кодын урт 6 тэмдэгт. WM- (мерчант) эсвэл WC- (харилцагч)</t>
  </si>
  <si>
    <t xml:space="preserve">WM-AB0013  /  WC-XY0021</t>
  </si>
  <si>
    <t xml:space="preserve">Сүүлийн тэмдэгт</t>
  </si>
  <si>
    <t xml:space="preserve">1, 2, 3 → хэдэн удаа эргэлдэх тоо. Бусад тэмдэгт → 3 эргэлт</t>
  </si>
  <si>
    <t xml:space="preserve">WM-ABCD01 = 1 удаа, WM-ABCD03 = 3 удаа</t>
  </si>
  <si>
    <t xml:space="preserve">Харилцагчийн бүртгэл</t>
  </si>
  <si>
    <t xml:space="preserve">src/data/records.ts файлд код → утасны дугаарын жагсаалт</t>
  </si>
  <si>
    <t xml:space="preserve">{ 'WM-AB0013': '99001234' }</t>
  </si>
  <si>
    <t xml:space="preserve">Шагналын тохиргоо</t>
  </si>
  <si>
    <t xml:space="preserve">src/data/prizes.ts файлд шагналын жагсаалт тохируулна</t>
  </si>
  <si>
    <t xml:space="preserve">label, emoji, desc, color</t>
  </si>
  <si>
    <t xml:space="preserve">Магадлалын тооцоо</t>
  </si>
  <si>
    <t xml:space="preserve">Энэхүү Excel-ийн % утгуудыг prizes.ts-д тохирсон жинтэй болгоно</t>
  </si>
  <si>
    <t xml:space="preserve">Жин = prob / 100 (жишээ: 22% → 0.22)</t>
  </si>
  <si>
    <t xml:space="preserve">6</t>
  </si>
  <si>
    <t xml:space="preserve">Хуваалцах зураг</t>
  </si>
  <si>
    <t xml:space="preserve">Шагнал авсны дараа "Хуваалцах" товчийг дараад PNG зурган файл татагдана</t>
  </si>
  <si>
    <t xml:space="preserve">iOS/Android: шууд share sheet</t>
  </si>
  <si>
    <t xml:space="preserve">7</t>
  </si>
  <si>
    <t xml:space="preserve">Аудио</t>
  </si>
  <si>
    <t xml:space="preserve">Эргэх үед tick дуу, шагнал авахад fanfare дуу Web Audio API-р</t>
  </si>
  <si>
    <t xml:space="preserve">Гадны файл шаардлагагүй</t>
  </si>
  <si>
    <t xml:space="preserve">8</t>
  </si>
  <si>
    <t xml:space="preserve">Лого файлууд</t>
  </si>
  <si>
    <t xml:space="preserve">public/ хавтсанд байх ёстой файлууд</t>
  </si>
  <si>
    <t xml:space="preserve">logo-white.png, owl-thumbsup.png, owl-pointing.png</t>
  </si>
  <si>
    <t xml:space="preserve">9</t>
  </si>
  <si>
    <t xml:space="preserve">Ирээдүйн Excel</t>
  </si>
  <si>
    <t xml:space="preserve">Энэ файл одоо статик. Ирээдүйд API-аас татаж ашиглах боломжтой</t>
  </si>
  <si>
    <t xml:space="preserve">fetch("/api/prizes") → prizes.ts утгыг орлоно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</si>
</sst>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060C24"/>
      <name val="Arial"/>
      <family val="0"/>
      <charset val="1"/>
    </font>
    <font>
      <b val="true"/>
      <sz val="10"/>
      <color rgb="FFC05000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060C24"/>
      <name val="Arial"/>
      <family val="0"/>
      <charset val="1"/>
    </font>
    <font>
      <b val="true"/>
      <sz val="10"/>
      <color rgb="FF29BDE0"/>
      <name val="Arial"/>
      <family val="0"/>
      <charset val="1"/>
    </font>
    <font>
      <b val="true"/>
      <sz val="10"/>
      <color rgb="FF1E293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60C24"/>
        <bgColor rgb="FF000000"/>
      </patternFill>
    </fill>
    <fill>
      <patternFill patternType="solid">
        <fgColor rgb="FF29BDE0"/>
        <bgColor rgb="FF00CC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E2E8F0"/>
        <bgColor rgb="FFD8F4FB"/>
      </patternFill>
    </fill>
    <fill>
      <patternFill patternType="solid">
        <fgColor rgb="FFFFF3CD"/>
        <bgColor rgb="FFF8FAFC"/>
      </patternFill>
    </fill>
    <fill>
      <patternFill patternType="solid">
        <fgColor rgb="FFF5B800"/>
        <bgColor rgb="FFFF9900"/>
      </patternFill>
    </fill>
    <fill>
      <patternFill patternType="solid">
        <fgColor rgb="FFD8F4FB"/>
        <bgColor rgb="FFE2E8F0"/>
      </patternFill>
    </fill>
    <fill>
      <patternFill patternType="solid">
        <fgColor rgb="FF9B59B6"/>
        <bgColor rgb="FF64748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0C24"/>
      <rgbColor rgb="FF808000"/>
      <rgbColor rgb="FF800080"/>
      <rgbColor rgb="FF008080"/>
      <rgbColor rgb="FFC0C0C0"/>
      <rgbColor rgb="FF9B59B6"/>
      <rgbColor rgb="FF9999FF"/>
      <rgbColor rgb="FF993366"/>
      <rgbColor rgb="FFFFF3CD"/>
      <rgbColor rgb="FFD8F4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FCC99"/>
      <rgbColor rgb="FF3366FF"/>
      <rgbColor rgb="FF29BDE0"/>
      <rgbColor rgb="FF99CC00"/>
      <rgbColor rgb="FFF5B800"/>
      <rgbColor rgb="FFFF9900"/>
      <rgbColor rgb="FFE74C3C"/>
      <rgbColor rgb="FF64748B"/>
      <rgbColor rgb="FF969696"/>
      <rgbColor rgb="FF003366"/>
      <rgbColor rgb="FF339966"/>
      <rgbColor rgb="FF003300"/>
      <rgbColor rgb="FF333300"/>
      <rgbColor rgb="FFC050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BDE0"/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6" min="5" style="0" width="1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9.5" hidden="false" customHeight="true" outlineLevel="0" collapsed="false">
      <c r="A3" s="3" t="n">
        <v>1</v>
      </c>
      <c r="B3" s="4" t="s">
        <v>8</v>
      </c>
      <c r="C3" s="3" t="s">
        <v>9</v>
      </c>
      <c r="D3" s="4" t="s">
        <v>10</v>
      </c>
      <c r="E3" s="3" t="s">
        <v>11</v>
      </c>
      <c r="F3" s="5" t="n">
        <v>0.2</v>
      </c>
      <c r="G3" s="4" t="s">
        <v>12</v>
      </c>
    </row>
    <row r="4" customFormat="false" ht="19.5" hidden="false" customHeight="true" outlineLevel="0" collapsed="false">
      <c r="A4" s="6" t="n">
        <v>2</v>
      </c>
      <c r="B4" s="7" t="s">
        <v>13</v>
      </c>
      <c r="C4" s="6" t="s">
        <v>14</v>
      </c>
      <c r="D4" s="7" t="s">
        <v>15</v>
      </c>
      <c r="E4" s="6" t="s">
        <v>16</v>
      </c>
      <c r="F4" s="8" t="n">
        <v>0.1</v>
      </c>
      <c r="G4" s="7" t="s">
        <v>17</v>
      </c>
    </row>
    <row r="5" customFormat="false" ht="19.5" hidden="false" customHeight="true" outlineLevel="0" collapsed="false">
      <c r="A5" s="3" t="n">
        <v>3</v>
      </c>
      <c r="B5" s="4" t="s">
        <v>18</v>
      </c>
      <c r="C5" s="3" t="s">
        <v>19</v>
      </c>
      <c r="D5" s="4" t="s">
        <v>20</v>
      </c>
      <c r="E5" s="3" t="s">
        <v>21</v>
      </c>
      <c r="F5" s="5" t="n">
        <v>0.08</v>
      </c>
      <c r="G5" s="4" t="s">
        <v>22</v>
      </c>
    </row>
    <row r="6" customFormat="false" ht="19.5" hidden="false" customHeight="true" outlineLevel="0" collapsed="false">
      <c r="A6" s="6" t="n">
        <v>4</v>
      </c>
      <c r="B6" s="7" t="s">
        <v>23</v>
      </c>
      <c r="C6" s="6" t="s">
        <v>24</v>
      </c>
      <c r="D6" s="7" t="s">
        <v>10</v>
      </c>
      <c r="E6" s="6" t="s">
        <v>25</v>
      </c>
      <c r="F6" s="8" t="n">
        <v>0.15</v>
      </c>
      <c r="G6" s="7" t="s">
        <v>26</v>
      </c>
    </row>
    <row r="7" customFormat="false" ht="19.5" hidden="false" customHeight="true" outlineLevel="0" collapsed="false">
      <c r="A7" s="3" t="n">
        <v>5</v>
      </c>
      <c r="B7" s="4" t="s">
        <v>27</v>
      </c>
      <c r="C7" s="3" t="s">
        <v>28</v>
      </c>
      <c r="D7" s="4" t="s">
        <v>29</v>
      </c>
      <c r="E7" s="3" t="s">
        <v>30</v>
      </c>
      <c r="F7" s="5" t="n">
        <v>0.05</v>
      </c>
      <c r="G7" s="4" t="s">
        <v>31</v>
      </c>
    </row>
    <row r="8" customFormat="false" ht="19.5" hidden="false" customHeight="true" outlineLevel="0" collapsed="false">
      <c r="A8" s="6" t="n">
        <v>6</v>
      </c>
      <c r="B8" s="7" t="s">
        <v>32</v>
      </c>
      <c r="C8" s="6" t="s">
        <v>33</v>
      </c>
      <c r="D8" s="7" t="s">
        <v>34</v>
      </c>
      <c r="E8" s="6" t="s">
        <v>35</v>
      </c>
      <c r="F8" s="8" t="n">
        <v>0.22</v>
      </c>
      <c r="G8" s="7" t="s">
        <v>36</v>
      </c>
    </row>
    <row r="9" customFormat="false" ht="19.5" hidden="false" customHeight="true" outlineLevel="0" collapsed="false">
      <c r="A9" s="3" t="n">
        <v>7</v>
      </c>
      <c r="B9" s="4" t="s">
        <v>37</v>
      </c>
      <c r="C9" s="3" t="s">
        <v>38</v>
      </c>
      <c r="D9" s="4" t="s">
        <v>39</v>
      </c>
      <c r="E9" s="3" t="s">
        <v>40</v>
      </c>
      <c r="F9" s="5" t="n">
        <v>0.02</v>
      </c>
      <c r="G9" s="4" t="s">
        <v>41</v>
      </c>
    </row>
    <row r="10" customFormat="false" ht="19.5" hidden="false" customHeight="true" outlineLevel="0" collapsed="false">
      <c r="A10" s="6" t="n">
        <v>8</v>
      </c>
      <c r="B10" s="7" t="s">
        <v>42</v>
      </c>
      <c r="C10" s="6" t="s">
        <v>43</v>
      </c>
      <c r="D10" s="7" t="s">
        <v>10</v>
      </c>
      <c r="E10" s="6" t="s">
        <v>44</v>
      </c>
      <c r="F10" s="8" t="n">
        <v>0.18</v>
      </c>
      <c r="G10" s="7" t="s">
        <v>12</v>
      </c>
    </row>
    <row r="11" customFormat="false" ht="19.5" hidden="false" customHeight="true" outlineLevel="0" collapsed="false">
      <c r="A11" s="3" t="n">
        <v>9</v>
      </c>
      <c r="B11" s="4" t="s">
        <v>45</v>
      </c>
      <c r="C11" s="3" t="s">
        <v>46</v>
      </c>
      <c r="D11" s="4" t="s">
        <v>47</v>
      </c>
      <c r="E11" s="3" t="s">
        <v>48</v>
      </c>
      <c r="F11" s="5" t="n">
        <v>0.05</v>
      </c>
      <c r="G11" s="4" t="s">
        <v>49</v>
      </c>
    </row>
    <row r="12" customFormat="false" ht="19.5" hidden="false" customHeight="true" outlineLevel="0" collapsed="false">
      <c r="A12" s="6" t="n">
        <v>10</v>
      </c>
      <c r="B12" s="7" t="s">
        <v>50</v>
      </c>
      <c r="C12" s="6" t="s">
        <v>51</v>
      </c>
      <c r="D12" s="7" t="s">
        <v>20</v>
      </c>
      <c r="E12" s="6" t="s">
        <v>52</v>
      </c>
      <c r="F12" s="8" t="n">
        <v>0.1</v>
      </c>
      <c r="G12" s="7" t="s">
        <v>53</v>
      </c>
    </row>
    <row r="13" customFormat="false" ht="24" hidden="false" customHeight="true" outlineLevel="0" collapsed="false">
      <c r="A13" s="9" t="s">
        <v>54</v>
      </c>
      <c r="B13" s="9"/>
      <c r="C13" s="9"/>
      <c r="D13" s="9"/>
      <c r="E13" s="9"/>
      <c r="F13" s="10" t="n">
        <f aca="false">SUM(F3:F12)</f>
        <v>1.15</v>
      </c>
      <c r="G13" s="11" t="str">
        <f aca="false">IF(F13=1,"✅ Нийт 100% — зөв","⚠️ Нийт "&amp;TEXT(F13,"0.0%")&amp;" — 100% болгоорой")</f>
        <v>⚠️ Нийт 115.0% — 100% болгоорой</v>
      </c>
    </row>
  </sheetData>
  <mergeCells count="2">
    <mergeCell ref="A1:G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B80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6" min="5" style="0" width="1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55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customFormat="false" ht="19.5" hidden="false" customHeight="true" outlineLevel="0" collapsed="false">
      <c r="A3" s="3" t="n">
        <v>1</v>
      </c>
      <c r="B3" s="4" t="s">
        <v>56</v>
      </c>
      <c r="C3" s="3" t="s">
        <v>9</v>
      </c>
      <c r="D3" s="4" t="s">
        <v>10</v>
      </c>
      <c r="E3" s="3" t="s">
        <v>11</v>
      </c>
      <c r="F3" s="5" t="n">
        <v>0.22</v>
      </c>
      <c r="G3" s="4" t="s">
        <v>12</v>
      </c>
    </row>
    <row r="4" customFormat="false" ht="19.5" hidden="false" customHeight="true" outlineLevel="0" collapsed="false">
      <c r="A4" s="6" t="n">
        <v>2</v>
      </c>
      <c r="B4" s="7" t="s">
        <v>13</v>
      </c>
      <c r="C4" s="6" t="s">
        <v>14</v>
      </c>
      <c r="D4" s="7" t="s">
        <v>15</v>
      </c>
      <c r="E4" s="6" t="s">
        <v>16</v>
      </c>
      <c r="F4" s="8" t="n">
        <v>0.1</v>
      </c>
      <c r="G4" s="7" t="s">
        <v>57</v>
      </c>
    </row>
    <row r="5" customFormat="false" ht="19.5" hidden="false" customHeight="true" outlineLevel="0" collapsed="false">
      <c r="A5" s="3" t="n">
        <v>3</v>
      </c>
      <c r="B5" s="4" t="s">
        <v>18</v>
      </c>
      <c r="C5" s="3" t="s">
        <v>19</v>
      </c>
      <c r="D5" s="4" t="s">
        <v>58</v>
      </c>
      <c r="E5" s="3" t="s">
        <v>21</v>
      </c>
      <c r="F5" s="5" t="n">
        <v>0.05</v>
      </c>
      <c r="G5" s="4" t="s">
        <v>59</v>
      </c>
    </row>
    <row r="6" customFormat="false" ht="19.5" hidden="false" customHeight="true" outlineLevel="0" collapsed="false">
      <c r="A6" s="6" t="n">
        <v>4</v>
      </c>
      <c r="B6" s="7" t="s">
        <v>8</v>
      </c>
      <c r="C6" s="6" t="s">
        <v>24</v>
      </c>
      <c r="D6" s="7" t="s">
        <v>10</v>
      </c>
      <c r="E6" s="6" t="s">
        <v>25</v>
      </c>
      <c r="F6" s="8" t="n">
        <v>0.14</v>
      </c>
      <c r="G6" s="7" t="s">
        <v>26</v>
      </c>
    </row>
    <row r="7" customFormat="false" ht="19.5" hidden="false" customHeight="true" outlineLevel="0" collapsed="false">
      <c r="A7" s="3" t="n">
        <v>5</v>
      </c>
      <c r="B7" s="4" t="s">
        <v>27</v>
      </c>
      <c r="C7" s="3" t="s">
        <v>28</v>
      </c>
      <c r="D7" s="4" t="s">
        <v>29</v>
      </c>
      <c r="E7" s="3" t="s">
        <v>30</v>
      </c>
      <c r="F7" s="5" t="n">
        <v>0.04</v>
      </c>
      <c r="G7" s="4" t="s">
        <v>31</v>
      </c>
    </row>
    <row r="8" customFormat="false" ht="19.5" hidden="false" customHeight="true" outlineLevel="0" collapsed="false">
      <c r="A8" s="6" t="n">
        <v>6</v>
      </c>
      <c r="B8" s="7" t="s">
        <v>32</v>
      </c>
      <c r="C8" s="6" t="s">
        <v>33</v>
      </c>
      <c r="D8" s="7" t="s">
        <v>34</v>
      </c>
      <c r="E8" s="6" t="s">
        <v>35</v>
      </c>
      <c r="F8" s="8" t="n">
        <v>0.25</v>
      </c>
      <c r="G8" s="7" t="s">
        <v>36</v>
      </c>
    </row>
    <row r="9" customFormat="false" ht="19.5" hidden="false" customHeight="true" outlineLevel="0" collapsed="false">
      <c r="A9" s="3" t="n">
        <v>7</v>
      </c>
      <c r="B9" s="4" t="s">
        <v>60</v>
      </c>
      <c r="C9" s="3" t="s">
        <v>61</v>
      </c>
      <c r="D9" s="4" t="s">
        <v>62</v>
      </c>
      <c r="E9" s="3" t="s">
        <v>40</v>
      </c>
      <c r="F9" s="5" t="n">
        <v>0.05</v>
      </c>
      <c r="G9" s="4" t="s">
        <v>63</v>
      </c>
    </row>
    <row r="10" customFormat="false" ht="19.5" hidden="false" customHeight="true" outlineLevel="0" collapsed="false">
      <c r="A10" s="6" t="n">
        <v>8</v>
      </c>
      <c r="B10" s="7" t="s">
        <v>64</v>
      </c>
      <c r="C10" s="6" t="s">
        <v>43</v>
      </c>
      <c r="D10" s="7" t="s">
        <v>10</v>
      </c>
      <c r="E10" s="6" t="s">
        <v>44</v>
      </c>
      <c r="F10" s="8" t="n">
        <v>0.19</v>
      </c>
      <c r="G10" s="7" t="s">
        <v>12</v>
      </c>
    </row>
    <row r="11" customFormat="false" ht="19.5" hidden="false" customHeight="true" outlineLevel="0" collapsed="false">
      <c r="A11" s="3" t="n">
        <v>9</v>
      </c>
      <c r="B11" s="4" t="s">
        <v>65</v>
      </c>
      <c r="C11" s="3" t="s">
        <v>51</v>
      </c>
      <c r="D11" s="4" t="s">
        <v>66</v>
      </c>
      <c r="E11" s="3" t="s">
        <v>48</v>
      </c>
      <c r="F11" s="5" t="n">
        <v>0.03</v>
      </c>
      <c r="G11" s="4" t="s">
        <v>67</v>
      </c>
    </row>
    <row r="12" customFormat="false" ht="19.5" hidden="false" customHeight="true" outlineLevel="0" collapsed="false">
      <c r="A12" s="6" t="n">
        <v>10</v>
      </c>
      <c r="B12" s="7" t="s">
        <v>68</v>
      </c>
      <c r="C12" s="6" t="s">
        <v>46</v>
      </c>
      <c r="D12" s="7" t="s">
        <v>10</v>
      </c>
      <c r="E12" s="6" t="s">
        <v>52</v>
      </c>
      <c r="F12" s="8" t="n">
        <v>0.13</v>
      </c>
      <c r="G12" s="7" t="s">
        <v>69</v>
      </c>
    </row>
    <row r="13" customFormat="false" ht="24" hidden="false" customHeight="true" outlineLevel="0" collapsed="false">
      <c r="A13" s="9" t="s">
        <v>54</v>
      </c>
      <c r="B13" s="9"/>
      <c r="C13" s="9"/>
      <c r="D13" s="9"/>
      <c r="E13" s="9"/>
      <c r="F13" s="10" t="n">
        <f aca="false">SUM(F3:F12)</f>
        <v>1.2</v>
      </c>
      <c r="G13" s="11" t="str">
        <f aca="false">IF(F13=1,"✅ Нийт 100% — зөв","⚠️ Нийт "&amp;TEXT(F13,"0.0%")&amp;" — 100% болгоорой")</f>
        <v>⚠️ Нийт 120.0% — 100% болгоорой</v>
      </c>
    </row>
  </sheetData>
  <mergeCells count="2">
    <mergeCell ref="A1:G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" t="s">
        <v>70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13" t="s">
        <v>71</v>
      </c>
      <c r="B2" s="13"/>
      <c r="C2" s="13"/>
      <c r="D2" s="13"/>
      <c r="E2" s="13"/>
      <c r="F2" s="13"/>
    </row>
    <row r="4" customFormat="false" ht="21.75" hidden="false" customHeight="true" outlineLevel="0" collapsed="false">
      <c r="A4" s="14" t="s">
        <v>72</v>
      </c>
      <c r="B4" s="14" t="s">
        <v>73</v>
      </c>
      <c r="C4" s="14" t="s">
        <v>74</v>
      </c>
      <c r="D4" s="14" t="s">
        <v>75</v>
      </c>
      <c r="E4" s="14" t="s">
        <v>76</v>
      </c>
      <c r="F4" s="14" t="s">
        <v>77</v>
      </c>
    </row>
    <row r="5" customFormat="false" ht="21.75" hidden="false" customHeight="true" outlineLevel="0" collapsed="false">
      <c r="A5" s="3" t="s">
        <v>78</v>
      </c>
      <c r="B5" s="3" t="n">
        <v>10</v>
      </c>
      <c r="C5" s="5" t="n">
        <f aca="false">'Мерчант Шагналууд'!F13</f>
        <v>1.15</v>
      </c>
      <c r="D5" s="3" t="str">
        <f aca="false">IF('Мерчант Шагналууд'!F13=1,"✅ Зөв","⚠️ Засварлах шаардлагатай")</f>
        <v>⚠️ Засварлах шаардлагатай</v>
      </c>
      <c r="E5" s="3" t="str">
        <f aca="false">INDEX('Мерчант Шагналууд'!B3:B12,MATCH(MAX('Мерчант Шагналууд'!F3:F12),'Мерчант Шагналууд'!F3:F12,0))</f>
        <v>Дараа дахин</v>
      </c>
      <c r="F5" s="5" t="n">
        <f aca="false">MIN('Мерчант Шагналууд'!F3:F12)</f>
        <v>0.02</v>
      </c>
    </row>
    <row r="6" customFormat="false" ht="21.75" hidden="false" customHeight="true" outlineLevel="0" collapsed="false">
      <c r="A6" s="6" t="s">
        <v>79</v>
      </c>
      <c r="B6" s="6" t="n">
        <v>10</v>
      </c>
      <c r="C6" s="8" t="n">
        <f aca="false">'Харилцагч Шагналууд'!F13</f>
        <v>1.2</v>
      </c>
      <c r="D6" s="6" t="str">
        <f aca="false">IF('Харилцагч Шагналууд'!F13=1,"✅ Зөв","⚠️ Засварлах шаардлагатай")</f>
        <v>⚠️ Засварлах шаардлагатай</v>
      </c>
      <c r="E6" s="6" t="str">
        <f aca="false">INDEX('Харилцагч Шагналууд'!B3:B12,MATCH(MAX('Харилцагч Шагналууд'!F3:F12),'Харилцагч Шагналууд'!F3:F12,0))</f>
        <v>Дараа дахин</v>
      </c>
      <c r="F6" s="8" t="n">
        <f aca="false">MIN('Харилцагч Шагналууд'!F3:F12)</f>
        <v>0.03</v>
      </c>
    </row>
    <row r="8" customFormat="false" ht="24" hidden="false" customHeight="true" outlineLevel="0" collapsed="false">
      <c r="A8" s="15" t="s">
        <v>80</v>
      </c>
      <c r="B8" s="15"/>
      <c r="C8" s="15"/>
      <c r="D8" s="15"/>
      <c r="E8" s="15"/>
      <c r="F8" s="15"/>
    </row>
    <row r="9" customFormat="false" ht="21.75" hidden="false" customHeight="true" outlineLevel="0" collapsed="false">
      <c r="A9" s="16" t="s">
        <v>81</v>
      </c>
      <c r="B9" s="17" t="s">
        <v>82</v>
      </c>
      <c r="C9" s="18" t="s">
        <v>83</v>
      </c>
      <c r="D9" s="18"/>
      <c r="E9" s="18"/>
      <c r="F9" s="18"/>
    </row>
    <row r="10" customFormat="false" ht="21.75" hidden="false" customHeight="true" outlineLevel="0" collapsed="false">
      <c r="A10" s="16" t="s">
        <v>84</v>
      </c>
      <c r="B10" s="17" t="s">
        <v>85</v>
      </c>
      <c r="C10" s="18" t="s">
        <v>86</v>
      </c>
      <c r="D10" s="18"/>
      <c r="E10" s="18"/>
      <c r="F10" s="18"/>
    </row>
    <row r="11" customFormat="false" ht="21.75" hidden="false" customHeight="true" outlineLevel="0" collapsed="false">
      <c r="A11" s="16" t="s">
        <v>87</v>
      </c>
      <c r="B11" s="17" t="s">
        <v>88</v>
      </c>
      <c r="C11" s="18" t="s">
        <v>89</v>
      </c>
      <c r="D11" s="18"/>
      <c r="E11" s="18"/>
      <c r="F11" s="18"/>
    </row>
    <row r="12" customFormat="false" ht="21.75" hidden="false" customHeight="true" outlineLevel="0" collapsed="false">
      <c r="A12" s="16" t="s">
        <v>90</v>
      </c>
      <c r="B12" s="17" t="s">
        <v>91</v>
      </c>
      <c r="C12" s="18" t="s">
        <v>92</v>
      </c>
      <c r="D12" s="18"/>
      <c r="E12" s="18"/>
      <c r="F12" s="18"/>
    </row>
    <row r="13" customFormat="false" ht="21.75" hidden="false" customHeight="true" outlineLevel="0" collapsed="false">
      <c r="A13" s="16" t="s">
        <v>93</v>
      </c>
      <c r="B13" s="17" t="s">
        <v>94</v>
      </c>
      <c r="C13" s="18" t="s">
        <v>95</v>
      </c>
      <c r="D13" s="18"/>
      <c r="E13" s="18"/>
      <c r="F13" s="18"/>
    </row>
  </sheetData>
  <mergeCells count="8">
    <mergeCell ref="A1:F1"/>
    <mergeCell ref="A2:F2"/>
    <mergeCell ref="A8:F8"/>
    <mergeCell ref="C9:F9"/>
    <mergeCell ref="C10:F10"/>
    <mergeCell ref="C11:F11"/>
    <mergeCell ref="C12:F12"/>
    <mergeCell ref="C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32"/>
  </cols>
  <sheetData>
    <row r="1" customFormat="false" ht="30" hidden="false" customHeight="true" outlineLevel="0" collapsed="false">
      <c r="A1" s="1" t="s">
        <v>96</v>
      </c>
      <c r="B1" s="1"/>
      <c r="C1" s="1"/>
      <c r="D1" s="1"/>
    </row>
    <row r="2" customFormat="false" ht="21.75" hidden="false" customHeight="true" outlineLevel="0" collapsed="false">
      <c r="A2" s="19" t="s">
        <v>97</v>
      </c>
      <c r="B2" s="19" t="s">
        <v>98</v>
      </c>
      <c r="C2" s="19" t="s">
        <v>4</v>
      </c>
      <c r="D2" s="19" t="s">
        <v>99</v>
      </c>
    </row>
    <row r="3" customFormat="false" ht="21.75" hidden="false" customHeight="true" outlineLevel="0" collapsed="false">
      <c r="A3" s="3" t="s">
        <v>81</v>
      </c>
      <c r="B3" s="20" t="s">
        <v>100</v>
      </c>
      <c r="C3" s="4" t="s">
        <v>101</v>
      </c>
      <c r="D3" s="4" t="s">
        <v>102</v>
      </c>
    </row>
    <row r="4" customFormat="false" ht="21.75" hidden="false" customHeight="true" outlineLevel="0" collapsed="false">
      <c r="A4" s="6" t="s">
        <v>84</v>
      </c>
      <c r="B4" s="21" t="s">
        <v>103</v>
      </c>
      <c r="C4" s="7" t="s">
        <v>104</v>
      </c>
      <c r="D4" s="7" t="s">
        <v>105</v>
      </c>
    </row>
    <row r="5" customFormat="false" ht="21.75" hidden="false" customHeight="true" outlineLevel="0" collapsed="false">
      <c r="A5" s="3" t="s">
        <v>87</v>
      </c>
      <c r="B5" s="20" t="s">
        <v>106</v>
      </c>
      <c r="C5" s="4" t="s">
        <v>107</v>
      </c>
      <c r="D5" s="4" t="s">
        <v>108</v>
      </c>
    </row>
    <row r="6" customFormat="false" ht="21.75" hidden="false" customHeight="true" outlineLevel="0" collapsed="false">
      <c r="A6" s="6" t="s">
        <v>90</v>
      </c>
      <c r="B6" s="21" t="s">
        <v>109</v>
      </c>
      <c r="C6" s="7" t="s">
        <v>110</v>
      </c>
      <c r="D6" s="7" t="s">
        <v>111</v>
      </c>
    </row>
    <row r="7" customFormat="false" ht="21.75" hidden="false" customHeight="true" outlineLevel="0" collapsed="false">
      <c r="A7" s="3" t="s">
        <v>93</v>
      </c>
      <c r="B7" s="20" t="s">
        <v>112</v>
      </c>
      <c r="C7" s="4" t="s">
        <v>113</v>
      </c>
      <c r="D7" s="4" t="s">
        <v>114</v>
      </c>
    </row>
    <row r="8" customFormat="false" ht="21.75" hidden="false" customHeight="true" outlineLevel="0" collapsed="false">
      <c r="A8" s="6" t="s">
        <v>115</v>
      </c>
      <c r="B8" s="21" t="s">
        <v>116</v>
      </c>
      <c r="C8" s="7" t="s">
        <v>117</v>
      </c>
      <c r="D8" s="7" t="s">
        <v>118</v>
      </c>
    </row>
    <row r="9" customFormat="false" ht="21.75" hidden="false" customHeight="true" outlineLevel="0" collapsed="false">
      <c r="A9" s="3" t="s">
        <v>119</v>
      </c>
      <c r="B9" s="20" t="s">
        <v>120</v>
      </c>
      <c r="C9" s="4" t="s">
        <v>121</v>
      </c>
      <c r="D9" s="4" t="s">
        <v>122</v>
      </c>
    </row>
    <row r="10" customFormat="false" ht="21.75" hidden="false" customHeight="true" outlineLevel="0" collapsed="false">
      <c r="A10" s="6" t="s">
        <v>123</v>
      </c>
      <c r="B10" s="21" t="s">
        <v>124</v>
      </c>
      <c r="C10" s="7" t="s">
        <v>125</v>
      </c>
      <c r="D10" s="7" t="s">
        <v>126</v>
      </c>
    </row>
    <row r="11" customFormat="false" ht="21.75" hidden="false" customHeight="true" outlineLevel="0" collapsed="false">
      <c r="A11" s="3" t="s">
        <v>127</v>
      </c>
      <c r="B11" s="20" t="s">
        <v>128</v>
      </c>
      <c r="C11" s="4" t="s">
        <v>129</v>
      </c>
      <c r="D11" s="4" t="s">
        <v>130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2026-08-03T04:12:06Z</dcterms:created>
  <dc:creator>openpyxl</dc:creator>
  <dc:description/>
  <dc:language>en-US</dc:language>
  <cp:lastModifiedBy/>
  <dcterms:modified xsi:type="dcterms:W3CDTF">2026-08-03T04:12:06Z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